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<sst xmlns="http://schemas.openxmlformats.org/spreadsheetml/2006/main" count="13" uniqueCount="13">
  <si>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Appreciation Rate</t>
  </si>
  <si>
    <t>Down Payment</t>
  </si>
  <si>
    <t>Loan Interest</t>
  </si>
  <si>
    <t>Loan Duration</t>
  </si>
  <si>
    <t>Year</t>
  </si>
  <si>
    <t>Home Value
(Beginning of Year)</t>
  </si>
  <si>
    <t>Buyout Amount
(Beginning of Year)</t>
  </si>
  <si>
    <t>Appreciation
(Throughout the Year)</t>
  </si>
  <si>
    <t>Principal Left On Loan</t>
  </si>
  <si>
    <t>Amount Available to Borrow
(at 90% LTV)</t>
  </si>
  <si>
    <t>Able to Buy Out?
(at 90% LTV)</t>
  </si>
  <si>
    <t>Amount available to Borrow
(at 80% LTV)</t>
  </si>
  <si>
    <t>Able to Buy Out?
(at 80% LTV)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</si>
</sst>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3" width="16.25"/>
    <col customWidth="1" min="4" max="4" width="18.38"/>
    <col customWidth="1" min="5" max="5" width="18.75"/>
    <col customWidth="1" min="6" max="6" width="23.38"/>
    <col customWidth="1" min="7" max="7" width="14.63"/>
    <col customWidth="1" min="8" max="8" width="23.13"/>
    <col customWidth="1" min="9" max="9" width="14.63"/>
  </cols>
  <sheetData>
    <row r="1">
      <c r="A1" s="1" t="s">
        <v>0</v>
      </c>
      <c r="B1" s="2">
        <v>0.05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4">
        <v>75000.0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B3" s="5">
        <v>0.0625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</v>
      </c>
      <c r="B4" s="1">
        <v>30.0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3"/>
    </row>
    <row r="7">
      <c r="A7" s="8">
        <v>0.0</v>
      </c>
      <c r="B7" s="4">
        <v>800000.0</v>
      </c>
      <c r="C7" s="4">
        <f>(B2/2)</f>
        <v>37500</v>
      </c>
      <c r="D7" s="9">
        <f t="shared" ref="D7:D37" si="1">B7*B$1</f>
        <v>40000</v>
      </c>
      <c r="E7" s="9">
        <f>B7-B2</f>
        <v>725000</v>
      </c>
      <c r="F7" s="9">
        <f t="shared" ref="F7:F37" si="2">B7*0.9-E7</f>
        <v>-5000</v>
      </c>
      <c r="G7" s="3" t="str">
        <f t="shared" ref="G7:G37" si="3">if(F7&lt;C7,"No...","YES!")</f>
        <v>No...</v>
      </c>
      <c r="H7" s="9">
        <f t="shared" ref="H7:H37" si="4">B7*0.8-E7</f>
        <v>-85000</v>
      </c>
      <c r="I7" s="3" t="str">
        <f t="shared" ref="I7:I37" si="5">if(H7&lt;C7,"No...","YES!")</f>
        <v>No...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1.0</v>
      </c>
      <c r="B8" s="9">
        <f t="shared" ref="B8:B37" si="6">B7+D7</f>
        <v>840000</v>
      </c>
      <c r="C8" s="9">
        <f t="shared" ref="C8:C37" si="7">C7+(D7/2)</f>
        <v>57500</v>
      </c>
      <c r="D8" s="9">
        <f t="shared" si="1"/>
        <v>42000</v>
      </c>
      <c r="E8" s="9">
        <f t="shared" ref="E8:E37" si="8">E7 + CUMPRINC($B$3/12, $B$4*12, $E$7, (A8-1)*12+1, A8*12, 0)</f>
        <v>716504.4813</v>
      </c>
      <c r="F8" s="9">
        <f t="shared" si="2"/>
        <v>39495.51869</v>
      </c>
      <c r="G8" s="3" t="str">
        <f t="shared" si="3"/>
        <v>No...</v>
      </c>
      <c r="H8" s="9">
        <f t="shared" si="4"/>
        <v>-44504.48131</v>
      </c>
      <c r="I8" s="3" t="str">
        <f t="shared" si="5"/>
        <v>No...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2.0</v>
      </c>
      <c r="B9" s="9">
        <f t="shared" si="6"/>
        <v>882000</v>
      </c>
      <c r="C9" s="9">
        <f t="shared" si="7"/>
        <v>78500</v>
      </c>
      <c r="D9" s="9">
        <f t="shared" si="1"/>
        <v>44100</v>
      </c>
      <c r="E9" s="9">
        <f t="shared" si="8"/>
        <v>707462.5154</v>
      </c>
      <c r="F9" s="9">
        <f t="shared" si="2"/>
        <v>86337.48456</v>
      </c>
      <c r="G9" s="3" t="str">
        <f t="shared" si="3"/>
        <v>YES!</v>
      </c>
      <c r="H9" s="9">
        <f t="shared" si="4"/>
        <v>-1862.515439</v>
      </c>
      <c r="I9" s="3" t="str">
        <f t="shared" si="5"/>
        <v>No...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3.0</v>
      </c>
      <c r="B10" s="9">
        <f t="shared" si="6"/>
        <v>926100</v>
      </c>
      <c r="C10" s="9">
        <f t="shared" si="7"/>
        <v>100550</v>
      </c>
      <c r="D10" s="9">
        <f t="shared" si="1"/>
        <v>46305</v>
      </c>
      <c r="E10" s="9">
        <f t="shared" si="8"/>
        <v>697838.9539</v>
      </c>
      <c r="F10" s="9">
        <f t="shared" si="2"/>
        <v>135651.0461</v>
      </c>
      <c r="G10" s="3" t="str">
        <f t="shared" si="3"/>
        <v>YES!</v>
      </c>
      <c r="H10" s="9">
        <f t="shared" si="4"/>
        <v>43041.04608</v>
      </c>
      <c r="I10" s="3" t="str">
        <f t="shared" si="5"/>
        <v>No...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4.0</v>
      </c>
      <c r="B11" s="9">
        <f t="shared" si="6"/>
        <v>972405</v>
      </c>
      <c r="C11" s="9">
        <f t="shared" si="7"/>
        <v>123702.5</v>
      </c>
      <c r="D11" s="9">
        <f t="shared" si="1"/>
        <v>48620.25</v>
      </c>
      <c r="E11" s="9">
        <f t="shared" si="8"/>
        <v>687596.3875</v>
      </c>
      <c r="F11" s="9">
        <f t="shared" si="2"/>
        <v>187568.1125</v>
      </c>
      <c r="G11" s="3" t="str">
        <f t="shared" si="3"/>
        <v>YES!</v>
      </c>
      <c r="H11" s="9">
        <f t="shared" si="4"/>
        <v>90327.61255</v>
      </c>
      <c r="I11" s="3" t="str">
        <f t="shared" si="5"/>
        <v>No...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5.0</v>
      </c>
      <c r="B12" s="9">
        <f t="shared" si="6"/>
        <v>1021025.25</v>
      </c>
      <c r="C12" s="9">
        <f t="shared" si="7"/>
        <v>148012.625</v>
      </c>
      <c r="D12" s="9">
        <f t="shared" si="1"/>
        <v>51051.2625</v>
      </c>
      <c r="E12" s="9">
        <f t="shared" si="8"/>
        <v>676695.0005</v>
      </c>
      <c r="F12" s="9">
        <f t="shared" si="2"/>
        <v>242227.7245</v>
      </c>
      <c r="G12" s="3" t="str">
        <f t="shared" si="3"/>
        <v>YES!</v>
      </c>
      <c r="H12" s="9">
        <f t="shared" si="4"/>
        <v>140125.1995</v>
      </c>
      <c r="I12" s="3" t="str">
        <f t="shared" si="5"/>
        <v>No...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6.0</v>
      </c>
      <c r="B13" s="9">
        <f t="shared" si="6"/>
        <v>1072076.513</v>
      </c>
      <c r="C13" s="9">
        <f t="shared" si="7"/>
        <v>173538.2563</v>
      </c>
      <c r="D13" s="9">
        <f t="shared" si="1"/>
        <v>53603.82563</v>
      </c>
      <c r="E13" s="9">
        <f t="shared" si="8"/>
        <v>665092.4166</v>
      </c>
      <c r="F13" s="9">
        <f t="shared" si="2"/>
        <v>299776.4446</v>
      </c>
      <c r="G13" s="3" t="str">
        <f t="shared" si="3"/>
        <v>YES!</v>
      </c>
      <c r="H13" s="9">
        <f t="shared" si="4"/>
        <v>192568.7934</v>
      </c>
      <c r="I13" s="3" t="str">
        <f t="shared" si="5"/>
        <v>YES!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7.0</v>
      </c>
      <c r="B14" s="9">
        <f t="shared" si="6"/>
        <v>1125680.338</v>
      </c>
      <c r="C14" s="9">
        <f t="shared" si="7"/>
        <v>200340.1691</v>
      </c>
      <c r="D14" s="9">
        <f t="shared" si="1"/>
        <v>56284.01691</v>
      </c>
      <c r="E14" s="9">
        <f t="shared" si="8"/>
        <v>652743.5335</v>
      </c>
      <c r="F14" s="9">
        <f t="shared" si="2"/>
        <v>360368.7709</v>
      </c>
      <c r="G14" s="3" t="str">
        <f t="shared" si="3"/>
        <v>YES!</v>
      </c>
      <c r="H14" s="9">
        <f t="shared" si="4"/>
        <v>247800.737</v>
      </c>
      <c r="I14" s="3" t="str">
        <f t="shared" si="5"/>
        <v>YES!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8.0</v>
      </c>
      <c r="B15" s="9">
        <f t="shared" si="6"/>
        <v>1181964.355</v>
      </c>
      <c r="C15" s="9">
        <f t="shared" si="7"/>
        <v>228482.1775</v>
      </c>
      <c r="D15" s="9">
        <f t="shared" si="1"/>
        <v>59098.21775</v>
      </c>
      <c r="E15" s="9">
        <f t="shared" si="8"/>
        <v>639600.3477</v>
      </c>
      <c r="F15" s="9">
        <f t="shared" si="2"/>
        <v>424167.5718</v>
      </c>
      <c r="G15" s="3" t="str">
        <f t="shared" si="3"/>
        <v>YES!</v>
      </c>
      <c r="H15" s="9">
        <f t="shared" si="4"/>
        <v>305971.1363</v>
      </c>
      <c r="I15" s="3" t="str">
        <f t="shared" si="5"/>
        <v>YES!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9.0</v>
      </c>
      <c r="B16" s="9">
        <f t="shared" si="6"/>
        <v>1241062.573</v>
      </c>
      <c r="C16" s="9">
        <f t="shared" si="7"/>
        <v>258031.2864</v>
      </c>
      <c r="D16" s="9">
        <f t="shared" si="1"/>
        <v>62053.12864</v>
      </c>
      <c r="E16" s="9">
        <f t="shared" si="8"/>
        <v>625611.7684</v>
      </c>
      <c r="F16" s="9">
        <f t="shared" si="2"/>
        <v>491344.5471</v>
      </c>
      <c r="G16" s="3" t="str">
        <f t="shared" si="3"/>
        <v>YES!</v>
      </c>
      <c r="H16" s="9">
        <f t="shared" si="4"/>
        <v>367238.2898</v>
      </c>
      <c r="I16" s="3" t="str">
        <f t="shared" si="5"/>
        <v>YES!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10.0</v>
      </c>
      <c r="B17" s="9">
        <f t="shared" si="6"/>
        <v>1303115.701</v>
      </c>
      <c r="C17" s="9">
        <f t="shared" si="7"/>
        <v>289057.8507</v>
      </c>
      <c r="D17" s="9">
        <f t="shared" si="1"/>
        <v>65155.78507</v>
      </c>
      <c r="E17" s="9">
        <f t="shared" si="8"/>
        <v>610723.4183</v>
      </c>
      <c r="F17" s="9">
        <f t="shared" si="2"/>
        <v>562080.713</v>
      </c>
      <c r="G17" s="3" t="str">
        <f t="shared" si="3"/>
        <v>YES!</v>
      </c>
      <c r="H17" s="9">
        <f t="shared" si="4"/>
        <v>431769.1428</v>
      </c>
      <c r="I17" s="3" t="str">
        <f t="shared" si="5"/>
        <v>YES!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11.0</v>
      </c>
      <c r="B18" s="9">
        <f t="shared" si="6"/>
        <v>1368271.486</v>
      </c>
      <c r="C18" s="9">
        <f t="shared" si="7"/>
        <v>321635.7432</v>
      </c>
      <c r="D18" s="9">
        <f t="shared" si="1"/>
        <v>68413.57432</v>
      </c>
      <c r="E18" s="9">
        <f t="shared" si="8"/>
        <v>594877.4225</v>
      </c>
      <c r="F18" s="9">
        <f t="shared" si="2"/>
        <v>636566.9153</v>
      </c>
      <c r="G18" s="3" t="str">
        <f t="shared" si="3"/>
        <v>YES!</v>
      </c>
      <c r="H18" s="9">
        <f t="shared" si="4"/>
        <v>499739.7667</v>
      </c>
      <c r="I18" s="3" t="str">
        <f t="shared" si="5"/>
        <v>YES!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12.0</v>
      </c>
      <c r="B19" s="9">
        <f t="shared" si="6"/>
        <v>1436685.061</v>
      </c>
      <c r="C19" s="9">
        <f t="shared" si="7"/>
        <v>355842.5304</v>
      </c>
      <c r="D19" s="9">
        <f t="shared" si="1"/>
        <v>71834.25304</v>
      </c>
      <c r="E19" s="9">
        <f t="shared" si="8"/>
        <v>578012.1835</v>
      </c>
      <c r="F19" s="9">
        <f t="shared" si="2"/>
        <v>715004.3712</v>
      </c>
      <c r="G19" s="3" t="str">
        <f t="shared" si="3"/>
        <v>YES!</v>
      </c>
      <c r="H19" s="9">
        <f t="shared" si="4"/>
        <v>571335.8651</v>
      </c>
      <c r="I19" s="3" t="str">
        <f t="shared" si="5"/>
        <v>YES!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13.0</v>
      </c>
      <c r="B20" s="9">
        <f t="shared" si="6"/>
        <v>1508519.314</v>
      </c>
      <c r="C20" s="9">
        <f t="shared" si="7"/>
        <v>391759.6569</v>
      </c>
      <c r="D20" s="9">
        <f t="shared" si="1"/>
        <v>75425.96569</v>
      </c>
      <c r="E20" s="9">
        <f t="shared" si="8"/>
        <v>560062.1418</v>
      </c>
      <c r="F20" s="9">
        <f t="shared" si="2"/>
        <v>797605.2407</v>
      </c>
      <c r="G20" s="3" t="str">
        <f t="shared" si="3"/>
        <v>YES!</v>
      </c>
      <c r="H20" s="9">
        <f t="shared" si="4"/>
        <v>646753.3093</v>
      </c>
      <c r="I20" s="3" t="str">
        <f t="shared" si="5"/>
        <v>YES!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14.0</v>
      </c>
      <c r="B21" s="9">
        <f t="shared" si="6"/>
        <v>1583945.28</v>
      </c>
      <c r="C21" s="9">
        <f t="shared" si="7"/>
        <v>429472.6398</v>
      </c>
      <c r="D21" s="9">
        <f t="shared" si="1"/>
        <v>79197.26398</v>
      </c>
      <c r="E21" s="9">
        <f t="shared" si="8"/>
        <v>540957.5207</v>
      </c>
      <c r="F21" s="9">
        <f t="shared" si="2"/>
        <v>884593.2309</v>
      </c>
      <c r="G21" s="3" t="str">
        <f t="shared" si="3"/>
        <v>YES!</v>
      </c>
      <c r="H21" s="9">
        <f t="shared" si="4"/>
        <v>726198.7029</v>
      </c>
      <c r="I21" s="3" t="str">
        <f t="shared" si="5"/>
        <v>YES!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15.0</v>
      </c>
      <c r="B22" s="9">
        <f t="shared" si="6"/>
        <v>1663142.544</v>
      </c>
      <c r="C22" s="9">
        <f t="shared" si="7"/>
        <v>469071.2718</v>
      </c>
      <c r="D22" s="9">
        <f t="shared" si="1"/>
        <v>83157.12718</v>
      </c>
      <c r="E22" s="9">
        <f t="shared" si="8"/>
        <v>520624.0558</v>
      </c>
      <c r="F22" s="9">
        <f t="shared" si="2"/>
        <v>976204.2334</v>
      </c>
      <c r="G22" s="3" t="str">
        <f t="shared" si="3"/>
        <v>YES!</v>
      </c>
      <c r="H22" s="9">
        <f t="shared" si="4"/>
        <v>809889.979</v>
      </c>
      <c r="I22" s="3" t="str">
        <f t="shared" si="5"/>
        <v>YES!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16.0</v>
      </c>
      <c r="B23" s="9">
        <f t="shared" si="6"/>
        <v>1746299.671</v>
      </c>
      <c r="C23" s="9">
        <f t="shared" si="7"/>
        <v>510649.8354</v>
      </c>
      <c r="D23" s="9">
        <f t="shared" si="1"/>
        <v>87314.98354</v>
      </c>
      <c r="E23" s="9">
        <f t="shared" si="8"/>
        <v>498982.7055</v>
      </c>
      <c r="F23" s="9">
        <f t="shared" si="2"/>
        <v>1072686.998</v>
      </c>
      <c r="G23" s="3" t="str">
        <f t="shared" si="3"/>
        <v>YES!</v>
      </c>
      <c r="H23" s="9">
        <f t="shared" si="4"/>
        <v>898057.031</v>
      </c>
      <c r="I23" s="3" t="str">
        <f t="shared" si="5"/>
        <v>YES!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17.0</v>
      </c>
      <c r="B24" s="9">
        <f t="shared" si="6"/>
        <v>1833614.654</v>
      </c>
      <c r="C24" s="9">
        <f t="shared" si="7"/>
        <v>554307.3271</v>
      </c>
      <c r="D24" s="9">
        <f t="shared" si="1"/>
        <v>91680.73271</v>
      </c>
      <c r="E24" s="9">
        <f t="shared" si="8"/>
        <v>475949.3443</v>
      </c>
      <c r="F24" s="9">
        <f t="shared" si="2"/>
        <v>1174303.844</v>
      </c>
      <c r="G24" s="3" t="str">
        <f t="shared" si="3"/>
        <v>YES!</v>
      </c>
      <c r="H24" s="9">
        <f t="shared" si="4"/>
        <v>990942.3791</v>
      </c>
      <c r="I24" s="3" t="str">
        <f t="shared" si="5"/>
        <v>YES!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18.0</v>
      </c>
      <c r="B25" s="9">
        <f t="shared" si="6"/>
        <v>1925295.387</v>
      </c>
      <c r="C25" s="9">
        <f t="shared" si="7"/>
        <v>600147.6935</v>
      </c>
      <c r="D25" s="9">
        <f t="shared" si="1"/>
        <v>96264.76935</v>
      </c>
      <c r="E25" s="9">
        <f t="shared" si="8"/>
        <v>451434.4355</v>
      </c>
      <c r="F25" s="9">
        <f t="shared" si="2"/>
        <v>1281331.413</v>
      </c>
      <c r="G25" s="3" t="str">
        <f t="shared" si="3"/>
        <v>YES!</v>
      </c>
      <c r="H25" s="9">
        <f t="shared" si="4"/>
        <v>1088801.874</v>
      </c>
      <c r="I25" s="3" t="str">
        <f t="shared" si="5"/>
        <v>YES!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19.0</v>
      </c>
      <c r="B26" s="9">
        <f t="shared" si="6"/>
        <v>2021560.156</v>
      </c>
      <c r="C26" s="9">
        <f t="shared" si="7"/>
        <v>648280.0782</v>
      </c>
      <c r="D26" s="9">
        <f t="shared" si="1"/>
        <v>101078.0078</v>
      </c>
      <c r="E26" s="9">
        <f t="shared" si="8"/>
        <v>425342.6833</v>
      </c>
      <c r="F26" s="9">
        <f t="shared" si="2"/>
        <v>1394061.457</v>
      </c>
      <c r="G26" s="3" t="str">
        <f t="shared" si="3"/>
        <v>YES!</v>
      </c>
      <c r="H26" s="9">
        <f t="shared" si="4"/>
        <v>1191905.442</v>
      </c>
      <c r="I26" s="3" t="str">
        <f t="shared" si="5"/>
        <v>YES!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20.0</v>
      </c>
      <c r="B27" s="9">
        <f t="shared" si="6"/>
        <v>2122638.164</v>
      </c>
      <c r="C27" s="9">
        <f t="shared" si="7"/>
        <v>698819.0821</v>
      </c>
      <c r="D27" s="9">
        <f t="shared" si="1"/>
        <v>106131.9082</v>
      </c>
      <c r="E27" s="9">
        <f t="shared" si="8"/>
        <v>397572.6623</v>
      </c>
      <c r="F27" s="9">
        <f t="shared" si="2"/>
        <v>1512801.685</v>
      </c>
      <c r="G27" s="3" t="str">
        <f t="shared" si="3"/>
        <v>YES!</v>
      </c>
      <c r="H27" s="9">
        <f t="shared" si="4"/>
        <v>1300537.869</v>
      </c>
      <c r="I27" s="3" t="str">
        <f t="shared" si="5"/>
        <v>YES!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21.0</v>
      </c>
      <c r="B28" s="9">
        <f t="shared" si="6"/>
        <v>2228770.072</v>
      </c>
      <c r="C28" s="9">
        <f t="shared" si="7"/>
        <v>751885.0362</v>
      </c>
      <c r="D28" s="9">
        <f t="shared" si="1"/>
        <v>111438.5036</v>
      </c>
      <c r="E28" s="9">
        <f t="shared" si="8"/>
        <v>368016.4231</v>
      </c>
      <c r="F28" s="9">
        <f t="shared" si="2"/>
        <v>1637876.642</v>
      </c>
      <c r="G28" s="3" t="str">
        <f t="shared" si="3"/>
        <v>YES!</v>
      </c>
      <c r="H28" s="9">
        <f t="shared" si="4"/>
        <v>1414999.635</v>
      </c>
      <c r="I28" s="3" t="str">
        <f t="shared" si="5"/>
        <v>YES!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22.0</v>
      </c>
      <c r="B29" s="9">
        <f t="shared" si="6"/>
        <v>2340208.576</v>
      </c>
      <c r="C29" s="9">
        <f t="shared" si="7"/>
        <v>807604.288</v>
      </c>
      <c r="D29" s="9">
        <f t="shared" si="1"/>
        <v>117010.4288</v>
      </c>
      <c r="E29" s="9">
        <f t="shared" si="8"/>
        <v>336559.0729</v>
      </c>
      <c r="F29" s="9">
        <f t="shared" si="2"/>
        <v>1769628.645</v>
      </c>
      <c r="G29" s="3" t="str">
        <f t="shared" si="3"/>
        <v>YES!</v>
      </c>
      <c r="H29" s="9">
        <f t="shared" si="4"/>
        <v>1535607.788</v>
      </c>
      <c r="I29" s="3" t="str">
        <f t="shared" si="5"/>
        <v>YES!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23.0</v>
      </c>
      <c r="B30" s="9">
        <f t="shared" si="6"/>
        <v>2457219.005</v>
      </c>
      <c r="C30" s="9">
        <f t="shared" si="7"/>
        <v>866109.5024</v>
      </c>
      <c r="D30" s="9">
        <f t="shared" si="1"/>
        <v>122860.9502</v>
      </c>
      <c r="E30" s="9">
        <f t="shared" si="8"/>
        <v>303078.3289</v>
      </c>
      <c r="F30" s="9">
        <f t="shared" si="2"/>
        <v>1908418.775</v>
      </c>
      <c r="G30" s="3" t="str">
        <f t="shared" si="3"/>
        <v>YES!</v>
      </c>
      <c r="H30" s="9">
        <f t="shared" si="4"/>
        <v>1662696.875</v>
      </c>
      <c r="I30" s="3" t="str">
        <f t="shared" si="5"/>
        <v>YES!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24.0</v>
      </c>
      <c r="B31" s="9">
        <f t="shared" si="6"/>
        <v>2580079.955</v>
      </c>
      <c r="C31" s="9">
        <f t="shared" si="7"/>
        <v>927539.9775</v>
      </c>
      <c r="D31" s="9">
        <f t="shared" si="1"/>
        <v>129003.9977</v>
      </c>
      <c r="E31" s="9">
        <f t="shared" si="8"/>
        <v>267444.0427</v>
      </c>
      <c r="F31" s="9">
        <f t="shared" si="2"/>
        <v>2054627.917</v>
      </c>
      <c r="G31" s="3" t="str">
        <f t="shared" si="3"/>
        <v>YES!</v>
      </c>
      <c r="H31" s="9">
        <f t="shared" si="4"/>
        <v>1796619.921</v>
      </c>
      <c r="I31" s="3" t="str">
        <f t="shared" si="5"/>
        <v>YES!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25.0</v>
      </c>
      <c r="B32" s="9">
        <f t="shared" si="6"/>
        <v>2709083.953</v>
      </c>
      <c r="C32" s="9">
        <f t="shared" si="7"/>
        <v>992041.9764</v>
      </c>
      <c r="D32" s="9">
        <f t="shared" si="1"/>
        <v>135454.1976</v>
      </c>
      <c r="E32" s="9">
        <f t="shared" si="8"/>
        <v>229517.6946</v>
      </c>
      <c r="F32" s="9">
        <f t="shared" si="2"/>
        <v>2208657.863</v>
      </c>
      <c r="G32" s="3" t="str">
        <f t="shared" si="3"/>
        <v>YES!</v>
      </c>
      <c r="H32" s="9">
        <f t="shared" si="4"/>
        <v>1937749.468</v>
      </c>
      <c r="I32" s="3" t="str">
        <f t="shared" si="5"/>
        <v>YES!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26.0</v>
      </c>
      <c r="B33" s="9">
        <f t="shared" si="6"/>
        <v>2844538.15</v>
      </c>
      <c r="C33" s="9">
        <f t="shared" si="7"/>
        <v>1059769.075</v>
      </c>
      <c r="D33" s="9">
        <f t="shared" si="1"/>
        <v>142226.9075</v>
      </c>
      <c r="E33" s="9">
        <f t="shared" si="8"/>
        <v>189151.8549</v>
      </c>
      <c r="F33" s="9">
        <f t="shared" si="2"/>
        <v>2370932.48</v>
      </c>
      <c r="G33" s="3" t="str">
        <f t="shared" si="3"/>
        <v>YES!</v>
      </c>
      <c r="H33" s="9">
        <f t="shared" si="4"/>
        <v>2086478.665</v>
      </c>
      <c r="I33" s="3" t="str">
        <f t="shared" si="5"/>
        <v>YES!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27.0</v>
      </c>
      <c r="B34" s="9">
        <f t="shared" si="6"/>
        <v>2986765.058</v>
      </c>
      <c r="C34" s="9">
        <f t="shared" si="7"/>
        <v>1130882.529</v>
      </c>
      <c r="D34" s="9">
        <f t="shared" si="1"/>
        <v>149338.2529</v>
      </c>
      <c r="E34" s="9">
        <f t="shared" si="8"/>
        <v>146189.6112</v>
      </c>
      <c r="F34" s="9">
        <f t="shared" si="2"/>
        <v>2541898.941</v>
      </c>
      <c r="G34" s="3" t="str">
        <f t="shared" si="3"/>
        <v>YES!</v>
      </c>
      <c r="H34" s="9">
        <f t="shared" si="4"/>
        <v>2243222.435</v>
      </c>
      <c r="I34" s="3" t="str">
        <f t="shared" si="5"/>
        <v>YES!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28.0</v>
      </c>
      <c r="B35" s="9">
        <f t="shared" si="6"/>
        <v>3136103.311</v>
      </c>
      <c r="C35" s="9">
        <f t="shared" si="7"/>
        <v>1205551.655</v>
      </c>
      <c r="D35" s="9">
        <f t="shared" si="1"/>
        <v>156805.1655</v>
      </c>
      <c r="E35" s="9">
        <f t="shared" si="8"/>
        <v>100463.9579</v>
      </c>
      <c r="F35" s="9">
        <f t="shared" si="2"/>
        <v>2722029.022</v>
      </c>
      <c r="G35" s="3" t="str">
        <f t="shared" si="3"/>
        <v>YES!</v>
      </c>
      <c r="H35" s="9">
        <f t="shared" si="4"/>
        <v>2408418.691</v>
      </c>
      <c r="I35" s="3" t="str">
        <f t="shared" si="5"/>
        <v>YES!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29.0</v>
      </c>
      <c r="B36" s="9">
        <f t="shared" si="6"/>
        <v>3292908.476</v>
      </c>
      <c r="C36" s="9">
        <f t="shared" si="7"/>
        <v>1283954.238</v>
      </c>
      <c r="D36" s="9">
        <f t="shared" si="1"/>
        <v>164645.4238</v>
      </c>
      <c r="E36" s="9">
        <f t="shared" si="8"/>
        <v>51797.14775</v>
      </c>
      <c r="F36" s="9">
        <f t="shared" si="2"/>
        <v>2911820.481</v>
      </c>
      <c r="G36" s="3" t="str">
        <f t="shared" si="3"/>
        <v>YES!</v>
      </c>
      <c r="H36" s="9">
        <f t="shared" si="4"/>
        <v>2582529.633</v>
      </c>
      <c r="I36" s="3" t="str">
        <f t="shared" si="5"/>
        <v>YES!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30.0</v>
      </c>
      <c r="B37" s="9">
        <f t="shared" si="6"/>
        <v>3457553.9</v>
      </c>
      <c r="C37" s="9">
        <f t="shared" si="7"/>
        <v>1366276.95</v>
      </c>
      <c r="D37" s="9">
        <f t="shared" si="1"/>
        <v>172877.695</v>
      </c>
      <c r="E37" s="9">
        <f t="shared" si="8"/>
        <v>-0.00000001017178874</v>
      </c>
      <c r="F37" s="9">
        <f t="shared" si="2"/>
        <v>3111798.51</v>
      </c>
      <c r="G37" s="3" t="str">
        <f t="shared" si="3"/>
        <v>YES!</v>
      </c>
      <c r="H37" s="9">
        <f t="shared" si="4"/>
        <v>2766043.12</v>
      </c>
      <c r="I37" s="3" t="str">
        <f t="shared" si="5"/>
        <v>YES!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drawing r:id="rId1"/>
</worksheet>
</file>